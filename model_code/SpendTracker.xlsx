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ian.s.dillon\Desktop\NREIP MtC\"/>
    </mc:Choice>
  </mc:AlternateContent>
  <bookViews>
    <workbookView xWindow="0" yWindow="3705" windowWidth="19200" windowHeight="6915" tabRatio="727"/>
  </bookViews>
  <sheets>
    <sheet name="Govies" sheetId="12" r:id="rId1"/>
    <sheet name="NREIP" sheetId="13" r:id="rId2"/>
  </sheets>
  <definedNames>
    <definedName name="List_NISENW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3" l="1"/>
  <c r="D11" i="13"/>
  <c r="C11" i="13"/>
  <c r="J8" i="12"/>
  <c r="G4" i="12"/>
  <c r="H4" i="12"/>
  <c r="H5" i="12" s="1"/>
  <c r="H6" i="12" s="1"/>
  <c r="H7" i="12" s="1"/>
  <c r="H8" i="12" s="1"/>
  <c r="H9" i="12" s="1"/>
  <c r="H10" i="12" s="1"/>
  <c r="H11" i="12" s="1"/>
  <c r="H12" i="12" s="1"/>
  <c r="H13" i="12" s="1"/>
  <c r="H14" i="12" s="1"/>
  <c r="H15" i="12" s="1"/>
  <c r="H16" i="12" s="1"/>
  <c r="H17" i="12" s="1"/>
  <c r="H18" i="12" s="1"/>
  <c r="H19" i="12" s="1"/>
  <c r="H20" i="12" s="1"/>
  <c r="H21" i="12" s="1"/>
  <c r="H22" i="12" s="1"/>
  <c r="H23" i="12" s="1"/>
  <c r="H24" i="12" s="1"/>
  <c r="H25" i="12" s="1"/>
  <c r="H26" i="12" s="1"/>
  <c r="H27" i="12" s="1"/>
  <c r="H28" i="12" s="1"/>
  <c r="H29" i="12" s="1"/>
  <c r="H30" i="12" s="1"/>
  <c r="H31" i="12" s="1"/>
  <c r="H32" i="12" s="1"/>
  <c r="H33" i="12" s="1"/>
  <c r="H34" i="12" s="1"/>
  <c r="H35" i="12" s="1"/>
  <c r="H36" i="12" s="1"/>
  <c r="H37" i="12" s="1"/>
  <c r="H38" i="12" s="1"/>
  <c r="H39" i="12" s="1"/>
  <c r="H40" i="12" s="1"/>
  <c r="H41" i="12" s="1"/>
  <c r="H42" i="12" s="1"/>
  <c r="H43" i="12" s="1"/>
  <c r="H44" i="12" s="1"/>
  <c r="H45" i="12" s="1"/>
  <c r="H46" i="12" s="1"/>
  <c r="H47" i="12" s="1"/>
  <c r="H48" i="12" s="1"/>
  <c r="H49" i="12" s="1"/>
  <c r="H50" i="12" s="1"/>
  <c r="H51" i="12" s="1"/>
  <c r="E4" i="12"/>
</calcChain>
</file>

<file path=xl/sharedStrings.xml><?xml version="1.0" encoding="utf-8"?>
<sst xmlns="http://schemas.openxmlformats.org/spreadsheetml/2006/main" count="18" uniqueCount="17">
  <si>
    <t>Rate</t>
  </si>
  <si>
    <t>Hours</t>
  </si>
  <si>
    <t>Date</t>
  </si>
  <si>
    <t>Name</t>
  </si>
  <si>
    <t>ND3</t>
  </si>
  <si>
    <t>ND4</t>
  </si>
  <si>
    <t>ND2</t>
  </si>
  <si>
    <t>Rates</t>
  </si>
  <si>
    <t>Brian Dillon</t>
  </si>
  <si>
    <t>Expended</t>
  </si>
  <si>
    <t>Remaining</t>
  </si>
  <si>
    <t>Approximate hours remaining</t>
  </si>
  <si>
    <t>Kyle</t>
  </si>
  <si>
    <t>Daniel</t>
  </si>
  <si>
    <t>David</t>
  </si>
  <si>
    <t>Week of</t>
  </si>
  <si>
    <t>Please record your total hours each week. We will use this to record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</si>
</sst>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808A5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44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6" fillId="2" borderId="0">
      <alignment horizontal="center"/>
    </xf>
    <xf numFmtId="0" fontId="1" fillId="0" borderId="0"/>
    <xf numFmtId="43" fontId="1" fillId="0" borderId="0" applyFont="0" applyFill="0" applyBorder="0" applyAlignment="0" applyProtection="0"/>
    <xf numFmtId="0" fontId="5" fillId="0" borderId="0"/>
    <xf numFmtId="14" fontId="5" fillId="0" borderId="0"/>
    <xf numFmtId="0" fontId="3" fillId="0" borderId="0"/>
    <xf numFmtId="0" fontId="3" fillId="0" borderId="0"/>
  </cellStyleXfs>
  <cellXfs count="9">
    <xf numFmtId="0" fontId="0" fillId="0" borderId="0" xfId="0"/>
    <xf numFmtId="0" fontId="3" fillId="0" borderId="0" xfId="0" applyFont="1"/>
    <xf numFmtId="44" fontId="0" fillId="0" borderId="0" xfId="1" applyFont="1"/>
    <xf numFmtId="44" fontId="0" fillId="0" borderId="0" xfId="0" applyNumberFormat="1"/>
    <xf numFmtId="1" fontId="0" fillId="0" borderId="0" xfId="0" applyNumberFormat="1"/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16" fontId="0" fillId="0" borderId="0" xfId="0" applyNumberFormat="1"/>
    <xf numFmtId="16" fontId="3" fillId="0" borderId="0" xfId="0" applyNumberFormat="1" applyFont="1"/>
  </cellXfs>
  <cellStyles count="16">
    <cellStyle name="Comma 2" xfId="5"/>
    <cellStyle name="Comma 6" xfId="11"/>
    <cellStyle name="Currency" xfId="1" builtinId="4"/>
    <cellStyle name="Currency 2" xfId="3"/>
    <cellStyle name="Currency 3" xfId="6"/>
    <cellStyle name="DATE" xfId="13"/>
    <cellStyle name="Header" xfId="9"/>
    <cellStyle name="Normal" xfId="0" builtinId="0"/>
    <cellStyle name="Normal 10" xfId="14"/>
    <cellStyle name="Normal 2" xfId="2"/>
    <cellStyle name="Normal 2 2" xfId="15"/>
    <cellStyle name="Normal 3" xfId="4"/>
    <cellStyle name="Normal 4" xfId="8"/>
    <cellStyle name="Normal 6" xfId="12"/>
    <cellStyle name="Normal 9" xfId="10"/>
    <cellStyle name="Percent 2" xfId="7"/>
  </cellStyles>
  <dxfs count="0"/>
  <tableStyles count="0" defaultTableStyle="TableStyleMedium2" defaultPivotStyle="PivotStyleLight16"/>
  <colors>
    <mruColors>
      <color rgb="FF6699FF"/>
      <color rgb="FF99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51"/>
  <sheetViews>
    <sheetView tabSelected="1" workbookViewId="0">
      <selection activeCell="K10" sqref="K10"/>
    </sheetView>
  </sheetViews>
  <sheetFormatPr defaultRowHeight="12.75" x14ac:dyDescent="0.2"/>
  <cols>
    <col min="2" max="2" width="10.42578125" bestFit="1" customWidth="1"/>
    <col min="8" max="8" width="11.28515625" bestFit="1" customWidth="1"/>
  </cols>
  <sheetData>
    <row r="2" spans="2:11" x14ac:dyDescent="0.2">
      <c r="H2" s="2">
        <v>18000</v>
      </c>
      <c r="J2" s="5" t="s">
        <v>7</v>
      </c>
      <c r="K2" s="5"/>
    </row>
    <row r="3" spans="2:11" x14ac:dyDescent="0.2">
      <c r="B3" t="s">
        <v>3</v>
      </c>
      <c r="C3" t="s">
        <v>2</v>
      </c>
      <c r="D3" t="s">
        <v>1</v>
      </c>
      <c r="E3" t="s">
        <v>0</v>
      </c>
      <c r="G3" s="1" t="s">
        <v>9</v>
      </c>
      <c r="H3" s="1" t="s">
        <v>10</v>
      </c>
      <c r="J3" s="6" t="s">
        <v>5</v>
      </c>
      <c r="K3" s="6">
        <v>141.33000000000001</v>
      </c>
    </row>
    <row r="4" spans="2:11" x14ac:dyDescent="0.2">
      <c r="B4" s="1" t="s">
        <v>8</v>
      </c>
      <c r="C4" s="7">
        <v>44074</v>
      </c>
      <c r="D4">
        <v>1</v>
      </c>
      <c r="E4">
        <f>K3</f>
        <v>141.33000000000001</v>
      </c>
      <c r="G4">
        <f>E4*D4</f>
        <v>141.33000000000001</v>
      </c>
      <c r="H4" s="3">
        <f>H2-G4</f>
        <v>17858.669999999998</v>
      </c>
      <c r="J4" s="6" t="s">
        <v>4</v>
      </c>
      <c r="K4" s="6">
        <v>109.06</v>
      </c>
    </row>
    <row r="5" spans="2:11" x14ac:dyDescent="0.2">
      <c r="H5" s="3">
        <f>H4-G5</f>
        <v>17858.669999999998</v>
      </c>
      <c r="J5" s="6" t="s">
        <v>6</v>
      </c>
      <c r="K5" s="6">
        <v>95.58</v>
      </c>
    </row>
    <row r="6" spans="2:11" x14ac:dyDescent="0.2">
      <c r="H6" s="3">
        <f t="shared" ref="H6:H51" si="0">H5-G6</f>
        <v>17858.669999999998</v>
      </c>
    </row>
    <row r="7" spans="2:11" x14ac:dyDescent="0.2">
      <c r="H7" s="3">
        <f t="shared" si="0"/>
        <v>17858.669999999998</v>
      </c>
      <c r="J7" s="1" t="s">
        <v>11</v>
      </c>
    </row>
    <row r="8" spans="2:11" x14ac:dyDescent="0.2">
      <c r="H8" s="3">
        <f t="shared" si="0"/>
        <v>17858.669999999998</v>
      </c>
      <c r="J8" s="4">
        <f>H51/K3</f>
        <v>126.36149437486731</v>
      </c>
    </row>
    <row r="9" spans="2:11" x14ac:dyDescent="0.2">
      <c r="H9" s="3">
        <f t="shared" si="0"/>
        <v>17858.669999999998</v>
      </c>
    </row>
    <row r="10" spans="2:11" x14ac:dyDescent="0.2">
      <c r="H10" s="3">
        <f t="shared" si="0"/>
        <v>17858.669999999998</v>
      </c>
    </row>
    <row r="11" spans="2:11" x14ac:dyDescent="0.2">
      <c r="H11" s="3">
        <f t="shared" si="0"/>
        <v>17858.669999999998</v>
      </c>
    </row>
    <row r="12" spans="2:11" x14ac:dyDescent="0.2">
      <c r="H12" s="3">
        <f t="shared" si="0"/>
        <v>17858.669999999998</v>
      </c>
    </row>
    <row r="13" spans="2:11" x14ac:dyDescent="0.2">
      <c r="H13" s="3">
        <f t="shared" si="0"/>
        <v>17858.669999999998</v>
      </c>
    </row>
    <row r="14" spans="2:11" x14ac:dyDescent="0.2">
      <c r="H14" s="3">
        <f t="shared" si="0"/>
        <v>17858.669999999998</v>
      </c>
    </row>
    <row r="15" spans="2:11" x14ac:dyDescent="0.2">
      <c r="H15" s="3">
        <f t="shared" si="0"/>
        <v>17858.669999999998</v>
      </c>
    </row>
    <row r="16" spans="2:11" x14ac:dyDescent="0.2">
      <c r="H16" s="3">
        <f t="shared" si="0"/>
        <v>17858.669999999998</v>
      </c>
    </row>
    <row r="17" spans="8:8" x14ac:dyDescent="0.2">
      <c r="H17" s="3">
        <f t="shared" si="0"/>
        <v>17858.669999999998</v>
      </c>
    </row>
    <row r="18" spans="8:8" x14ac:dyDescent="0.2">
      <c r="H18" s="3">
        <f t="shared" si="0"/>
        <v>17858.669999999998</v>
      </c>
    </row>
    <row r="19" spans="8:8" x14ac:dyDescent="0.2">
      <c r="H19" s="3">
        <f t="shared" si="0"/>
        <v>17858.669999999998</v>
      </c>
    </row>
    <row r="20" spans="8:8" x14ac:dyDescent="0.2">
      <c r="H20" s="3">
        <f t="shared" si="0"/>
        <v>17858.669999999998</v>
      </c>
    </row>
    <row r="21" spans="8:8" x14ac:dyDescent="0.2">
      <c r="H21" s="3">
        <f t="shared" si="0"/>
        <v>17858.669999999998</v>
      </c>
    </row>
    <row r="22" spans="8:8" x14ac:dyDescent="0.2">
      <c r="H22" s="3">
        <f t="shared" si="0"/>
        <v>17858.669999999998</v>
      </c>
    </row>
    <row r="23" spans="8:8" x14ac:dyDescent="0.2">
      <c r="H23" s="3">
        <f t="shared" si="0"/>
        <v>17858.669999999998</v>
      </c>
    </row>
    <row r="24" spans="8:8" x14ac:dyDescent="0.2">
      <c r="H24" s="3">
        <f t="shared" si="0"/>
        <v>17858.669999999998</v>
      </c>
    </row>
    <row r="25" spans="8:8" x14ac:dyDescent="0.2">
      <c r="H25" s="3">
        <f t="shared" si="0"/>
        <v>17858.669999999998</v>
      </c>
    </row>
    <row r="26" spans="8:8" x14ac:dyDescent="0.2">
      <c r="H26" s="3">
        <f t="shared" si="0"/>
        <v>17858.669999999998</v>
      </c>
    </row>
    <row r="27" spans="8:8" x14ac:dyDescent="0.2">
      <c r="H27" s="3">
        <f t="shared" si="0"/>
        <v>17858.669999999998</v>
      </c>
    </row>
    <row r="28" spans="8:8" x14ac:dyDescent="0.2">
      <c r="H28" s="3">
        <f t="shared" si="0"/>
        <v>17858.669999999998</v>
      </c>
    </row>
    <row r="29" spans="8:8" x14ac:dyDescent="0.2">
      <c r="H29" s="3">
        <f t="shared" si="0"/>
        <v>17858.669999999998</v>
      </c>
    </row>
    <row r="30" spans="8:8" x14ac:dyDescent="0.2">
      <c r="H30" s="3">
        <f t="shared" si="0"/>
        <v>17858.669999999998</v>
      </c>
    </row>
    <row r="31" spans="8:8" x14ac:dyDescent="0.2">
      <c r="H31" s="3">
        <f t="shared" si="0"/>
        <v>17858.669999999998</v>
      </c>
    </row>
    <row r="32" spans="8:8" x14ac:dyDescent="0.2">
      <c r="H32" s="3">
        <f t="shared" si="0"/>
        <v>17858.669999999998</v>
      </c>
    </row>
    <row r="33" spans="8:8" x14ac:dyDescent="0.2">
      <c r="H33" s="3">
        <f t="shared" si="0"/>
        <v>17858.669999999998</v>
      </c>
    </row>
    <row r="34" spans="8:8" x14ac:dyDescent="0.2">
      <c r="H34" s="3">
        <f t="shared" si="0"/>
        <v>17858.669999999998</v>
      </c>
    </row>
    <row r="35" spans="8:8" x14ac:dyDescent="0.2">
      <c r="H35" s="3">
        <f t="shared" si="0"/>
        <v>17858.669999999998</v>
      </c>
    </row>
    <row r="36" spans="8:8" x14ac:dyDescent="0.2">
      <c r="H36" s="3">
        <f t="shared" si="0"/>
        <v>17858.669999999998</v>
      </c>
    </row>
    <row r="37" spans="8:8" x14ac:dyDescent="0.2">
      <c r="H37" s="3">
        <f t="shared" si="0"/>
        <v>17858.669999999998</v>
      </c>
    </row>
    <row r="38" spans="8:8" x14ac:dyDescent="0.2">
      <c r="H38" s="3">
        <f t="shared" si="0"/>
        <v>17858.669999999998</v>
      </c>
    </row>
    <row r="39" spans="8:8" x14ac:dyDescent="0.2">
      <c r="H39" s="3">
        <f t="shared" si="0"/>
        <v>17858.669999999998</v>
      </c>
    </row>
    <row r="40" spans="8:8" x14ac:dyDescent="0.2">
      <c r="H40" s="3">
        <f t="shared" si="0"/>
        <v>17858.669999999998</v>
      </c>
    </row>
    <row r="41" spans="8:8" x14ac:dyDescent="0.2">
      <c r="H41" s="3">
        <f t="shared" si="0"/>
        <v>17858.669999999998</v>
      </c>
    </row>
    <row r="42" spans="8:8" x14ac:dyDescent="0.2">
      <c r="H42" s="3">
        <f t="shared" si="0"/>
        <v>17858.669999999998</v>
      </c>
    </row>
    <row r="43" spans="8:8" x14ac:dyDescent="0.2">
      <c r="H43" s="3">
        <f t="shared" si="0"/>
        <v>17858.669999999998</v>
      </c>
    </row>
    <row r="44" spans="8:8" x14ac:dyDescent="0.2">
      <c r="H44" s="3">
        <f t="shared" si="0"/>
        <v>17858.669999999998</v>
      </c>
    </row>
    <row r="45" spans="8:8" x14ac:dyDescent="0.2">
      <c r="H45" s="3">
        <f t="shared" si="0"/>
        <v>17858.669999999998</v>
      </c>
    </row>
    <row r="46" spans="8:8" x14ac:dyDescent="0.2">
      <c r="H46" s="3">
        <f t="shared" si="0"/>
        <v>17858.669999999998</v>
      </c>
    </row>
    <row r="47" spans="8:8" x14ac:dyDescent="0.2">
      <c r="H47" s="3">
        <f t="shared" si="0"/>
        <v>17858.669999999998</v>
      </c>
    </row>
    <row r="48" spans="8:8" x14ac:dyDescent="0.2">
      <c r="H48" s="3">
        <f t="shared" si="0"/>
        <v>17858.669999999998</v>
      </c>
    </row>
    <row r="49" spans="8:8" x14ac:dyDescent="0.2">
      <c r="H49" s="3">
        <f t="shared" si="0"/>
        <v>17858.669999999998</v>
      </c>
    </row>
    <row r="50" spans="8:8" x14ac:dyDescent="0.2">
      <c r="H50" s="3">
        <f t="shared" si="0"/>
        <v>17858.669999999998</v>
      </c>
    </row>
    <row r="51" spans="8:8" x14ac:dyDescent="0.2">
      <c r="H51" s="3">
        <f t="shared" si="0"/>
        <v>17858.669999999998</v>
      </c>
    </row>
  </sheetData>
  <mergeCells count="1">
    <mergeCell ref="J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workbookViewId="0">
      <selection activeCell="B12" sqref="B12"/>
    </sheetView>
  </sheetViews>
  <sheetFormatPr defaultRowHeight="12.75" x14ac:dyDescent="0.2"/>
  <cols>
    <col min="2" max="2" width="9.7109375" customWidth="1"/>
  </cols>
  <sheetData>
    <row r="2" spans="2:7" x14ac:dyDescent="0.2">
      <c r="B2" s="1" t="s">
        <v>15</v>
      </c>
      <c r="C2" s="1" t="s">
        <v>12</v>
      </c>
      <c r="D2" s="1" t="s">
        <v>13</v>
      </c>
      <c r="E2" s="1" t="s">
        <v>14</v>
      </c>
    </row>
    <row r="3" spans="2:7" x14ac:dyDescent="0.2">
      <c r="B3" s="7">
        <v>44156</v>
      </c>
      <c r="G3" s="1" t="s">
        <v>16</v>
      </c>
    </row>
    <row r="4" spans="2:7" x14ac:dyDescent="0.2">
      <c r="B4" s="7">
        <v>43797</v>
      </c>
    </row>
    <row r="5" spans="2:7" x14ac:dyDescent="0.2">
      <c r="B5" s="7">
        <v>43804</v>
      </c>
    </row>
    <row r="6" spans="2:7" x14ac:dyDescent="0.2">
      <c r="B6" s="7">
        <v>43811</v>
      </c>
    </row>
    <row r="7" spans="2:7" x14ac:dyDescent="0.2">
      <c r="B7" s="7">
        <v>43818</v>
      </c>
    </row>
    <row r="8" spans="2:7" x14ac:dyDescent="0.2">
      <c r="B8" s="7">
        <v>43825</v>
      </c>
    </row>
    <row r="9" spans="2:7" x14ac:dyDescent="0.2">
      <c r="B9" s="7">
        <v>43832</v>
      </c>
    </row>
    <row r="10" spans="2:7" x14ac:dyDescent="0.2">
      <c r="B10" s="7"/>
    </row>
    <row r="11" spans="2:7" x14ac:dyDescent="0.2">
      <c r="B11" s="8" t="s">
        <v>10</v>
      </c>
      <c r="C11">
        <f>40-SUM(C3:C9)</f>
        <v>40</v>
      </c>
      <c r="D11">
        <f>40-SUM(D3:D9)</f>
        <v>40</v>
      </c>
      <c r="E11">
        <f>40-SUM(E3:E9)</f>
        <v>40</v>
      </c>
    </row>
    <row r="12" spans="2:7" x14ac:dyDescent="0.2">
      <c r="B1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Govies</vt:lpstr>
      <vt:lpstr>NREIP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Subacius, Cheryl L CIV NSWCDD, V03</dc:creator>
  <cp:lastModifiedBy>brian.s.dillon</cp:lastModifiedBy>
  <dcterms:created xsi:type="dcterms:W3CDTF">2019-08-29T17:00:39Z</dcterms:created>
  <dcterms:modified xsi:type="dcterms:W3CDTF">2020-11-17T21:43:36Z</dcterms:modified>
</cp:coreProperties>
</file>