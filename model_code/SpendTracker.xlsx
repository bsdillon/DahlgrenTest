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ovies" sheetId="1" state="visible" r:id="rId2"/>
    <sheet name="NREIP" sheetId="2" state="visible" r:id="rId3"/>
  </sheets>
  <definedNames>
    <definedName function="false" hidden="false" name="List_NISENWA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<sst xmlns="http://schemas.openxmlformats.org/spreadsheetml/2006/main" count="21" uniqueCount="18">
  <si>
    <t xml:space="preserve">Rates</t>
  </si>
  <si>
    <t xml:space="preserve">Name</t>
  </si>
  <si>
    <t xml:space="preserve">Date</t>
  </si>
  <si>
    <t xml:space="preserve">Hours</t>
  </si>
  <si>
    <t xml:space="preserve">Rate</t>
  </si>
  <si>
    <t xml:space="preserve">Expended</t>
  </si>
  <si>
    <t xml:space="preserve">Remaining</t>
  </si>
  <si>
    <t xml:space="preserve">ND4</t>
  </si>
  <si>
    <t xml:space="preserve">Brian Dillon</t>
  </si>
  <si>
    <t xml:space="preserve">ND3</t>
  </si>
  <si>
    <t xml:space="preserve">Jeffrey McAteer</t>
  </si>
  <si>
    <t xml:space="preserve">ND2</t>
  </si>
  <si>
    <t xml:space="preserve">Approximate hours remaining</t>
  </si>
  <si>
    <t xml:space="preserve">Week of</t>
  </si>
  <si>
    <t xml:space="preserve">Kyle</t>
  </si>
  <si>
    <t xml:space="preserve">Daniel</t>
  </si>
  <si>
    <t xml:space="preserve">David</t>
  </si>
  <si>
    <t xml:space="preserve">Please record your total hours each week. We will use this to record progress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</si>
</sst>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(\$* #,##0.00_);_(\$* \(#,##0.00\);_(\$* \-??_);_(@_)"/>
    <numFmt numFmtId="167" formatCode="m/d/yyyy"/>
    <numFmt numFmtId="168" formatCode="0%"/>
    <numFmt numFmtId="169" formatCode="d\-mmm"/>
    <numFmt numFmtId="170" formatCode="mm/dd/yy"/>
    <numFmt numFmtId="171" formatCode="0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808A5"/>
        <bgColor rgb="FF000080"/>
      </patternFill>
    </fill>
    <fill>
      <patternFill patternType="solid">
        <fgColor rgb="FFD9D9D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3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6" xfId="21"/>
    <cellStyle name="Currency 2" xfId="22"/>
    <cellStyle name="Currency 3" xfId="23"/>
    <cellStyle name="DATE" xfId="24"/>
    <cellStyle name="Header" xfId="25"/>
    <cellStyle name="Normal 10" xfId="26"/>
    <cellStyle name="Normal 2" xfId="27"/>
    <cellStyle name="Normal 2 2" xfId="28"/>
    <cellStyle name="Normal 3" xfId="29"/>
    <cellStyle name="Normal 4" xfId="30"/>
    <cellStyle name="Normal 6" xfId="31"/>
    <cellStyle name="Normal 9" xfId="32"/>
    <cellStyle name="Percent 2" xfId="3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A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1" activeCellId="0" sqref="L11"/>
    </sheetView>
  </sheetViews>
  <sheetFormatPr defaultColWidth="8.6875" defaultRowHeight="12.75" zeroHeight="false" outlineLevelRow="0" outlineLevelCol="0"/>
  <cols>
    <col collapsed="false" customWidth="true" hidden="false" outlineLevel="0" max="2" min="2" style="0" width="10.42"/>
    <col collapsed="false" customWidth="true" hidden="false" outlineLevel="0" max="8" min="8" style="0" width="11.29"/>
  </cols>
  <sheetData>
    <row r="2" customFormat="false" ht="12.75" hidden="false" customHeight="false" outlineLevel="0" collapsed="false">
      <c r="H2" s="1" t="n">
        <v>18000</v>
      </c>
      <c r="J2" s="2" t="s">
        <v>0</v>
      </c>
      <c r="K2" s="2"/>
    </row>
    <row r="3" customFormat="false" ht="12.75" hidden="false" customHeight="false" outlineLevel="0" collapsed="false">
      <c r="B3" s="0" t="s">
        <v>1</v>
      </c>
      <c r="C3" s="0" t="s">
        <v>2</v>
      </c>
      <c r="D3" s="0" t="s">
        <v>3</v>
      </c>
      <c r="E3" s="0" t="s">
        <v>4</v>
      </c>
      <c r="G3" s="3" t="s">
        <v>5</v>
      </c>
      <c r="H3" s="3" t="s">
        <v>6</v>
      </c>
      <c r="J3" s="4" t="s">
        <v>7</v>
      </c>
      <c r="K3" s="4" t="n">
        <v>141.33</v>
      </c>
    </row>
    <row r="4" customFormat="false" ht="12.8" hidden="false" customHeight="false" outlineLevel="0" collapsed="false">
      <c r="B4" s="3" t="s">
        <v>8</v>
      </c>
      <c r="C4" s="5" t="n">
        <v>44074</v>
      </c>
      <c r="D4" s="0" t="n">
        <v>1</v>
      </c>
      <c r="E4" s="0" t="n">
        <f aca="false">K3</f>
        <v>141.33</v>
      </c>
      <c r="G4" s="0" t="n">
        <f aca="false">E4*D4</f>
        <v>141.33</v>
      </c>
      <c r="H4" s="6" t="n">
        <f aca="false">H2-G4</f>
        <v>17858.67</v>
      </c>
      <c r="J4" s="4" t="s">
        <v>9</v>
      </c>
      <c r="K4" s="4" t="n">
        <v>109.06</v>
      </c>
    </row>
    <row r="5" customFormat="false" ht="12.8" hidden="false" customHeight="false" outlineLevel="0" collapsed="false">
      <c r="B5" s="0" t="s">
        <v>10</v>
      </c>
      <c r="C5" s="7" t="n">
        <v>44152</v>
      </c>
      <c r="D5" s="0" t="n">
        <v>1.5</v>
      </c>
      <c r="E5" s="0" t="n">
        <f aca="false">K$5</f>
        <v>95.58</v>
      </c>
      <c r="G5" s="0" t="n">
        <f aca="false">E5*D5</f>
        <v>143.37</v>
      </c>
      <c r="H5" s="6" t="n">
        <f aca="false">H4-G5</f>
        <v>17715.3</v>
      </c>
      <c r="J5" s="4" t="s">
        <v>11</v>
      </c>
      <c r="K5" s="4" t="n">
        <v>95.58</v>
      </c>
    </row>
    <row r="6" customFormat="false" ht="12.8" hidden="false" customHeight="false" outlineLevel="0" collapsed="false">
      <c r="B6" s="0" t="s">
        <v>10</v>
      </c>
      <c r="C6" s="7" t="n">
        <v>44153</v>
      </c>
      <c r="D6" s="0" t="n">
        <v>1.5</v>
      </c>
      <c r="E6" s="0" t="n">
        <f aca="false">K$5</f>
        <v>95.58</v>
      </c>
      <c r="G6" s="0" t="n">
        <f aca="false">E6*D6</f>
        <v>143.37</v>
      </c>
      <c r="H6" s="6" t="n">
        <f aca="false">H5-G6</f>
        <v>17571.93</v>
      </c>
    </row>
    <row r="7" customFormat="false" ht="12.8" hidden="false" customHeight="false" outlineLevel="0" collapsed="false">
      <c r="B7" s="0" t="s">
        <v>10</v>
      </c>
      <c r="C7" s="7" t="n">
        <v>44154</v>
      </c>
      <c r="D7" s="0" t="n">
        <v>0.5</v>
      </c>
      <c r="E7" s="0" t="n">
        <f aca="false">K$5</f>
        <v>95.58</v>
      </c>
      <c r="G7" s="0" t="n">
        <f aca="false">E7*D7</f>
        <v>47.79</v>
      </c>
      <c r="H7" s="6" t="n">
        <f aca="false">H6-G7</f>
        <v>17524.14</v>
      </c>
      <c r="J7" s="3" t="s">
        <v>12</v>
      </c>
    </row>
    <row r="8" customFormat="false" ht="12.8" hidden="false" customHeight="false" outlineLevel="0" collapsed="false">
      <c r="G8" s="0" t="n">
        <f aca="false">E8*D8</f>
        <v>0</v>
      </c>
      <c r="H8" s="6" t="n">
        <f aca="false">H7-G8</f>
        <v>17524.14</v>
      </c>
      <c r="J8" s="8" t="n">
        <f aca="false">H51/K3</f>
        <v>123.99448100191</v>
      </c>
    </row>
    <row r="9" customFormat="false" ht="12.8" hidden="false" customHeight="false" outlineLevel="0" collapsed="false">
      <c r="G9" s="0" t="n">
        <f aca="false">E9*D9</f>
        <v>0</v>
      </c>
      <c r="H9" s="6" t="n">
        <f aca="false">H8-G9</f>
        <v>17524.14</v>
      </c>
    </row>
    <row r="10" customFormat="false" ht="12.8" hidden="false" customHeight="false" outlineLevel="0" collapsed="false">
      <c r="G10" s="0" t="n">
        <f aca="false">E10*D10</f>
        <v>0</v>
      </c>
      <c r="H10" s="6" t="n">
        <f aca="false">H9-G10</f>
        <v>17524.14</v>
      </c>
    </row>
    <row r="11" customFormat="false" ht="12.8" hidden="false" customHeight="false" outlineLevel="0" collapsed="false">
      <c r="G11" s="0" t="n">
        <f aca="false">E11*D11</f>
        <v>0</v>
      </c>
      <c r="H11" s="6" t="n">
        <f aca="false">H10-G11</f>
        <v>17524.14</v>
      </c>
    </row>
    <row r="12" customFormat="false" ht="12.8" hidden="false" customHeight="false" outlineLevel="0" collapsed="false">
      <c r="G12" s="0" t="n">
        <f aca="false">E12*D12</f>
        <v>0</v>
      </c>
      <c r="H12" s="6" t="n">
        <f aca="false">H11-G12</f>
        <v>17524.14</v>
      </c>
    </row>
    <row r="13" customFormat="false" ht="12.8" hidden="false" customHeight="false" outlineLevel="0" collapsed="false">
      <c r="G13" s="0" t="n">
        <f aca="false">E13*D13</f>
        <v>0</v>
      </c>
      <c r="H13" s="6" t="n">
        <f aca="false">H12-G13</f>
        <v>17524.14</v>
      </c>
    </row>
    <row r="14" customFormat="false" ht="12.8" hidden="false" customHeight="false" outlineLevel="0" collapsed="false">
      <c r="G14" s="0" t="n">
        <f aca="false">E14*D14</f>
        <v>0</v>
      </c>
      <c r="H14" s="6" t="n">
        <f aca="false">H13-G14</f>
        <v>17524.14</v>
      </c>
    </row>
    <row r="15" customFormat="false" ht="12.8" hidden="false" customHeight="false" outlineLevel="0" collapsed="false">
      <c r="G15" s="0" t="n">
        <f aca="false">E15*D15</f>
        <v>0</v>
      </c>
      <c r="H15" s="6" t="n">
        <f aca="false">H14-G15</f>
        <v>17524.14</v>
      </c>
    </row>
    <row r="16" customFormat="false" ht="12.8" hidden="false" customHeight="false" outlineLevel="0" collapsed="false">
      <c r="G16" s="0" t="n">
        <f aca="false">E16*D16</f>
        <v>0</v>
      </c>
      <c r="H16" s="6" t="n">
        <f aca="false">H15-G16</f>
        <v>17524.14</v>
      </c>
    </row>
    <row r="17" customFormat="false" ht="12.8" hidden="false" customHeight="false" outlineLevel="0" collapsed="false">
      <c r="G17" s="0" t="n">
        <f aca="false">E17*D17</f>
        <v>0</v>
      </c>
      <c r="H17" s="6" t="n">
        <f aca="false">H16-G17</f>
        <v>17524.14</v>
      </c>
    </row>
    <row r="18" customFormat="false" ht="12.8" hidden="false" customHeight="false" outlineLevel="0" collapsed="false">
      <c r="G18" s="0" t="n">
        <f aca="false">E18*D18</f>
        <v>0</v>
      </c>
      <c r="H18" s="6" t="n">
        <f aca="false">H17-G18</f>
        <v>17524.14</v>
      </c>
    </row>
    <row r="19" customFormat="false" ht="12.8" hidden="false" customHeight="false" outlineLevel="0" collapsed="false">
      <c r="G19" s="0" t="n">
        <f aca="false">E19*D19</f>
        <v>0</v>
      </c>
      <c r="H19" s="6" t="n">
        <f aca="false">H18-G19</f>
        <v>17524.14</v>
      </c>
    </row>
    <row r="20" customFormat="false" ht="12.8" hidden="false" customHeight="false" outlineLevel="0" collapsed="false">
      <c r="G20" s="0" t="n">
        <f aca="false">E20*D20</f>
        <v>0</v>
      </c>
      <c r="H20" s="6" t="n">
        <f aca="false">H19-G20</f>
        <v>17524.14</v>
      </c>
    </row>
    <row r="21" customFormat="false" ht="12.8" hidden="false" customHeight="false" outlineLevel="0" collapsed="false">
      <c r="G21" s="0" t="n">
        <f aca="false">E21*D21</f>
        <v>0</v>
      </c>
      <c r="H21" s="6" t="n">
        <f aca="false">H20-G21</f>
        <v>17524.14</v>
      </c>
    </row>
    <row r="22" customFormat="false" ht="12.8" hidden="false" customHeight="false" outlineLevel="0" collapsed="false">
      <c r="G22" s="0" t="n">
        <f aca="false">E22*D22</f>
        <v>0</v>
      </c>
      <c r="H22" s="6" t="n">
        <f aca="false">H21-G22</f>
        <v>17524.14</v>
      </c>
    </row>
    <row r="23" customFormat="false" ht="12.8" hidden="false" customHeight="false" outlineLevel="0" collapsed="false">
      <c r="G23" s="0" t="n">
        <f aca="false">E23*D23</f>
        <v>0</v>
      </c>
      <c r="H23" s="6" t="n">
        <f aca="false">H22-G23</f>
        <v>17524.14</v>
      </c>
    </row>
    <row r="24" customFormat="false" ht="12.8" hidden="false" customHeight="false" outlineLevel="0" collapsed="false">
      <c r="G24" s="0" t="n">
        <f aca="false">E24*D24</f>
        <v>0</v>
      </c>
      <c r="H24" s="6" t="n">
        <f aca="false">H23-G24</f>
        <v>17524.14</v>
      </c>
    </row>
    <row r="25" customFormat="false" ht="12.8" hidden="false" customHeight="false" outlineLevel="0" collapsed="false">
      <c r="G25" s="0" t="n">
        <f aca="false">E25*D25</f>
        <v>0</v>
      </c>
      <c r="H25" s="6" t="n">
        <f aca="false">H24-G25</f>
        <v>17524.14</v>
      </c>
    </row>
    <row r="26" customFormat="false" ht="12.8" hidden="false" customHeight="false" outlineLevel="0" collapsed="false">
      <c r="G26" s="0" t="n">
        <f aca="false">E26*D26</f>
        <v>0</v>
      </c>
      <c r="H26" s="6" t="n">
        <f aca="false">H25-G26</f>
        <v>17524.14</v>
      </c>
    </row>
    <row r="27" customFormat="false" ht="12.8" hidden="false" customHeight="false" outlineLevel="0" collapsed="false">
      <c r="G27" s="0" t="n">
        <f aca="false">E27*D27</f>
        <v>0</v>
      </c>
      <c r="H27" s="6" t="n">
        <f aca="false">H26-G27</f>
        <v>17524.14</v>
      </c>
    </row>
    <row r="28" customFormat="false" ht="12.8" hidden="false" customHeight="false" outlineLevel="0" collapsed="false">
      <c r="G28" s="0" t="n">
        <f aca="false">E28*D28</f>
        <v>0</v>
      </c>
      <c r="H28" s="6" t="n">
        <f aca="false">H27-G28</f>
        <v>17524.14</v>
      </c>
    </row>
    <row r="29" customFormat="false" ht="12.8" hidden="false" customHeight="false" outlineLevel="0" collapsed="false">
      <c r="G29" s="0" t="n">
        <f aca="false">E29*D29</f>
        <v>0</v>
      </c>
      <c r="H29" s="6" t="n">
        <f aca="false">H28-G29</f>
        <v>17524.14</v>
      </c>
    </row>
    <row r="30" customFormat="false" ht="12.8" hidden="false" customHeight="false" outlineLevel="0" collapsed="false">
      <c r="G30" s="0" t="n">
        <f aca="false">E30*D30</f>
        <v>0</v>
      </c>
      <c r="H30" s="6" t="n">
        <f aca="false">H29-G30</f>
        <v>17524.14</v>
      </c>
    </row>
    <row r="31" customFormat="false" ht="12.8" hidden="false" customHeight="false" outlineLevel="0" collapsed="false">
      <c r="G31" s="0" t="n">
        <f aca="false">E31*D31</f>
        <v>0</v>
      </c>
      <c r="H31" s="6" t="n">
        <f aca="false">H30-G31</f>
        <v>17524.14</v>
      </c>
    </row>
    <row r="32" customFormat="false" ht="12.8" hidden="false" customHeight="false" outlineLevel="0" collapsed="false">
      <c r="G32" s="0" t="n">
        <f aca="false">E32*D32</f>
        <v>0</v>
      </c>
      <c r="H32" s="6" t="n">
        <f aca="false">H31-G32</f>
        <v>17524.14</v>
      </c>
    </row>
    <row r="33" customFormat="false" ht="12.8" hidden="false" customHeight="false" outlineLevel="0" collapsed="false">
      <c r="G33" s="0" t="n">
        <f aca="false">E33*D33</f>
        <v>0</v>
      </c>
      <c r="H33" s="6" t="n">
        <f aca="false">H32-G33</f>
        <v>17524.14</v>
      </c>
    </row>
    <row r="34" customFormat="false" ht="12.8" hidden="false" customHeight="false" outlineLevel="0" collapsed="false">
      <c r="G34" s="0" t="n">
        <f aca="false">E34*D34</f>
        <v>0</v>
      </c>
      <c r="H34" s="6" t="n">
        <f aca="false">H33-G34</f>
        <v>17524.14</v>
      </c>
    </row>
    <row r="35" customFormat="false" ht="12.8" hidden="false" customHeight="false" outlineLevel="0" collapsed="false">
      <c r="G35" s="0" t="n">
        <f aca="false">E35*D35</f>
        <v>0</v>
      </c>
      <c r="H35" s="6" t="n">
        <f aca="false">H34-G35</f>
        <v>17524.14</v>
      </c>
    </row>
    <row r="36" customFormat="false" ht="12.8" hidden="false" customHeight="false" outlineLevel="0" collapsed="false">
      <c r="G36" s="0" t="n">
        <f aca="false">E36*D36</f>
        <v>0</v>
      </c>
      <c r="H36" s="6" t="n">
        <f aca="false">H35-G36</f>
        <v>17524.14</v>
      </c>
    </row>
    <row r="37" customFormat="false" ht="12.8" hidden="false" customHeight="false" outlineLevel="0" collapsed="false">
      <c r="G37" s="0" t="n">
        <f aca="false">E37*D37</f>
        <v>0</v>
      </c>
      <c r="H37" s="6" t="n">
        <f aca="false">H36-G37</f>
        <v>17524.14</v>
      </c>
    </row>
    <row r="38" customFormat="false" ht="12.8" hidden="false" customHeight="false" outlineLevel="0" collapsed="false">
      <c r="G38" s="0" t="n">
        <f aca="false">E38*D38</f>
        <v>0</v>
      </c>
      <c r="H38" s="6" t="n">
        <f aca="false">H37-G38</f>
        <v>17524.14</v>
      </c>
    </row>
    <row r="39" customFormat="false" ht="12.8" hidden="false" customHeight="false" outlineLevel="0" collapsed="false">
      <c r="G39" s="0" t="n">
        <f aca="false">E39*D39</f>
        <v>0</v>
      </c>
      <c r="H39" s="6" t="n">
        <f aca="false">H38-G39</f>
        <v>17524.14</v>
      </c>
    </row>
    <row r="40" customFormat="false" ht="12.8" hidden="false" customHeight="false" outlineLevel="0" collapsed="false">
      <c r="G40" s="0" t="n">
        <f aca="false">E40*D40</f>
        <v>0</v>
      </c>
      <c r="H40" s="6" t="n">
        <f aca="false">H39-G40</f>
        <v>17524.14</v>
      </c>
    </row>
    <row r="41" customFormat="false" ht="12.8" hidden="false" customHeight="false" outlineLevel="0" collapsed="false">
      <c r="G41" s="0" t="n">
        <f aca="false">E41*D41</f>
        <v>0</v>
      </c>
      <c r="H41" s="6" t="n">
        <f aca="false">H40-G41</f>
        <v>17524.14</v>
      </c>
    </row>
    <row r="42" customFormat="false" ht="12.8" hidden="false" customHeight="false" outlineLevel="0" collapsed="false">
      <c r="G42" s="0" t="n">
        <f aca="false">E42*D42</f>
        <v>0</v>
      </c>
      <c r="H42" s="6" t="n">
        <f aca="false">H41-G42</f>
        <v>17524.14</v>
      </c>
    </row>
    <row r="43" customFormat="false" ht="12.8" hidden="false" customHeight="false" outlineLevel="0" collapsed="false">
      <c r="G43" s="0" t="n">
        <f aca="false">E43*D43</f>
        <v>0</v>
      </c>
      <c r="H43" s="6" t="n">
        <f aca="false">H42-G43</f>
        <v>17524.14</v>
      </c>
    </row>
    <row r="44" customFormat="false" ht="12.8" hidden="false" customHeight="false" outlineLevel="0" collapsed="false">
      <c r="G44" s="0" t="n">
        <f aca="false">E44*D44</f>
        <v>0</v>
      </c>
      <c r="H44" s="6" t="n">
        <f aca="false">H43-G44</f>
        <v>17524.14</v>
      </c>
    </row>
    <row r="45" customFormat="false" ht="12.8" hidden="false" customHeight="false" outlineLevel="0" collapsed="false">
      <c r="G45" s="0" t="n">
        <f aca="false">E45*D45</f>
        <v>0</v>
      </c>
      <c r="H45" s="6" t="n">
        <f aca="false">H44-G45</f>
        <v>17524.14</v>
      </c>
    </row>
    <row r="46" customFormat="false" ht="12.8" hidden="false" customHeight="false" outlineLevel="0" collapsed="false">
      <c r="G46" s="0" t="n">
        <f aca="false">E46*D46</f>
        <v>0</v>
      </c>
      <c r="H46" s="6" t="n">
        <f aca="false">H45-G46</f>
        <v>17524.14</v>
      </c>
    </row>
    <row r="47" customFormat="false" ht="12.8" hidden="false" customHeight="false" outlineLevel="0" collapsed="false">
      <c r="G47" s="0" t="n">
        <f aca="false">E47*D47</f>
        <v>0</v>
      </c>
      <c r="H47" s="6" t="n">
        <f aca="false">H46-G47</f>
        <v>17524.14</v>
      </c>
    </row>
    <row r="48" customFormat="false" ht="12.8" hidden="false" customHeight="false" outlineLevel="0" collapsed="false">
      <c r="G48" s="0" t="n">
        <f aca="false">E48*D48</f>
        <v>0</v>
      </c>
      <c r="H48" s="6" t="n">
        <f aca="false">H47-G48</f>
        <v>17524.14</v>
      </c>
    </row>
    <row r="49" customFormat="false" ht="12.8" hidden="false" customHeight="false" outlineLevel="0" collapsed="false">
      <c r="G49" s="0" t="n">
        <f aca="false">E49*D49</f>
        <v>0</v>
      </c>
      <c r="H49" s="6" t="n">
        <f aca="false">H48-G49</f>
        <v>17524.14</v>
      </c>
    </row>
    <row r="50" customFormat="false" ht="12.8" hidden="false" customHeight="false" outlineLevel="0" collapsed="false">
      <c r="G50" s="0" t="n">
        <f aca="false">E50*D50</f>
        <v>0</v>
      </c>
      <c r="H50" s="6" t="n">
        <f aca="false">H49-G50</f>
        <v>17524.14</v>
      </c>
    </row>
    <row r="51" customFormat="false" ht="12.8" hidden="false" customHeight="false" outlineLevel="0" collapsed="false">
      <c r="G51" s="0" t="n">
        <f aca="false">E51*D51</f>
        <v>0</v>
      </c>
      <c r="H51" s="6" t="n">
        <f aca="false">H50-G51</f>
        <v>17524.14</v>
      </c>
    </row>
  </sheetData>
  <mergeCells count="1">
    <mergeCell ref="J2:K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875" defaultRowHeight="12.75" zeroHeight="false" outlineLevelRow="0" outlineLevelCol="0"/>
  <cols>
    <col collapsed="false" customWidth="true" hidden="false" outlineLevel="0" max="2" min="2" style="0" width="9.71"/>
  </cols>
  <sheetData>
    <row r="2" customFormat="false" ht="12.75" hidden="false" customHeight="false" outlineLevel="0" collapsed="false">
      <c r="B2" s="3" t="s">
        <v>13</v>
      </c>
      <c r="C2" s="3" t="s">
        <v>14</v>
      </c>
      <c r="D2" s="3" t="s">
        <v>15</v>
      </c>
      <c r="E2" s="3" t="s">
        <v>16</v>
      </c>
    </row>
    <row r="3" customFormat="false" ht="12.75" hidden="false" customHeight="false" outlineLevel="0" collapsed="false">
      <c r="B3" s="5" t="n">
        <v>44156</v>
      </c>
      <c r="G3" s="3" t="s">
        <v>17</v>
      </c>
    </row>
    <row r="4" customFormat="false" ht="12.75" hidden="false" customHeight="false" outlineLevel="0" collapsed="false">
      <c r="B4" s="5" t="n">
        <v>43797</v>
      </c>
    </row>
    <row r="5" customFormat="false" ht="12.75" hidden="false" customHeight="false" outlineLevel="0" collapsed="false">
      <c r="B5" s="5" t="n">
        <v>43804</v>
      </c>
    </row>
    <row r="6" customFormat="false" ht="12.75" hidden="false" customHeight="false" outlineLevel="0" collapsed="false">
      <c r="B6" s="5" t="n">
        <v>43811</v>
      </c>
    </row>
    <row r="7" customFormat="false" ht="12.75" hidden="false" customHeight="false" outlineLevel="0" collapsed="false">
      <c r="B7" s="5" t="n">
        <v>43818</v>
      </c>
    </row>
    <row r="8" customFormat="false" ht="12.75" hidden="false" customHeight="false" outlineLevel="0" collapsed="false">
      <c r="B8" s="5" t="n">
        <v>43825</v>
      </c>
    </row>
    <row r="9" customFormat="false" ht="12.75" hidden="false" customHeight="false" outlineLevel="0" collapsed="false">
      <c r="B9" s="5" t="n">
        <v>43832</v>
      </c>
    </row>
    <row r="10" customFormat="false" ht="12.75" hidden="false" customHeight="false" outlineLevel="0" collapsed="false">
      <c r="B10" s="5"/>
    </row>
    <row r="11" customFormat="false" ht="12.75" hidden="false" customHeight="false" outlineLevel="0" collapsed="false">
      <c r="B11" s="9" t="s">
        <v>6</v>
      </c>
      <c r="C11" s="0" t="n">
        <f aca="false">40-SUM(C3:C9)</f>
        <v>40</v>
      </c>
      <c r="D11" s="0" t="n">
        <f aca="false">40-SUM(D3:D9)</f>
        <v>40</v>
      </c>
      <c r="E11" s="0" t="n">
        <f aca="false">40-SUM(E3:E9)</f>
        <v>40</v>
      </c>
    </row>
    <row r="12" customFormat="false" ht="12.75" hidden="false" customHeight="false" outlineLevel="0" collapsed="false">
      <c r="B12" s="5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LibreOffice/7.0.3.1$Linux_X86_64 LibreOffice_project/00$Build-1</Application>
  <Company>HPES NMCI NGEN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2019-08-29T17:00:39Z</dcterms:created>
  <dc:creator>Subacius, Cheryl L CIV NSWCDD, V03</dc:creator>
  <dc:description/>
  <dc:language>en-US</dc:language>
  <cp:lastModifiedBy/>
  <dcterms:modified xsi:type="dcterms:W3CDTF">2020-11-19T11:30:36Z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HPES NMCI NGEN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